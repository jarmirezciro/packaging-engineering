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bb1828496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Upload" sheetId="1" r:id="R0fe21e76acac4a54"/>
    <x:sheet xmlns:r="http://schemas.openxmlformats.org/officeDocument/2006/relationships" name="Imperial Source" sheetId="2" r:id="R338bf7f3613c46c5"/>
    <x:sheet xmlns:r="http://schemas.openxmlformats.org/officeDocument/2006/relationships" name="Instructions" sheetId="3" r:id="Rdad131dde99b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"/>
    <x:numFmt numFmtId="203" formatCode="0.00000000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15343B"/>
      <x:name val="Carlito"/>
    </x:font>
    <x:font>
      <x:i/>
      <x:sz val="11"/>
      <x:color rgb="FF15343B"/>
      <x:name val="Carlito"/>
    </x:font>
    <x:font>
      <x:b/>
      <x:sz val="16"/>
      <x:color rgb="FFFFFFFF"/>
      <x:name val="Carlito"/>
    </x:font>
    <x:font>
      <x:b/>
      <x:sz val="11"/>
      <x:color rgb="FF15343B"/>
      <x:name val="Carlito"/>
    </x:font>
    <x:font>
      <x:b/>
      <x:sz val="11"/>
      <x:color rgb="FF0B5D66"/>
      <x:name val="Carlito"/>
    </x:font>
    <x:font>
      <x:b/>
      <x:sz val="11"/>
      <x:color rgb="FFC85A1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5D66"/>
      </x:patternFill>
    </x:fill>
    <x:fill>
      <x:patternFill patternType="solid">
        <x:fgColor rgb="FFEEF6FF"/>
      </x:patternFill>
    </x:fill>
    <x:fill>
      <x:patternFill patternType="solid">
        <x:fgColor rgb="FFC85A16"/>
      </x:patternFill>
    </x:fill>
    <x:fill>
      <x:patternFill patternType="solid">
        <x:fgColor rgb="FFFFF7E6"/>
      </x:patternFill>
    </x:fill>
    <x:fill>
      <x:patternFill patternType="solid">
        <x:fgColor rgb="FFF4F7F8"/>
      </x:patternFill>
    </x:fill>
    <x:fill>
      <x:patternFill patternType="solid">
        <x:fgColor rgb="FFEAF5F5"/>
      </x:patternFill>
    </x:fill>
    <x:fill>
      <x:patternFill patternType="solid">
        <x:fgColor rgb="FFFFF1E6"/>
      </x:patternFill>
    </x:fill>
  </x:fills>
  <x:borders count="10">
    <x:border/>
    <x:border>
      <x:left style="medium">
        <x:color rgb="FF0B5D66"/>
      </x:left>
      <x:top style="medium">
        <x:color rgb="FF0B5D66"/>
      </x:top>
      <x:bottom style="medium">
        <x:color rgb="FF0B5D66"/>
      </x:bottom>
    </x:border>
    <x:border>
      <x:top style="medium">
        <x:color rgb="FF0B5D66"/>
      </x:top>
      <x:bottom style="medium">
        <x:color rgb="FF0B5D66"/>
      </x:bottom>
    </x:border>
    <x:border>
      <x:right style="medium">
        <x:color rgb="FF0B5D66"/>
      </x:right>
      <x:top style="medium">
        <x:color rgb="FF0B5D66"/>
      </x:top>
      <x:bottom style="medium">
        <x:color rgb="FF0B5D66"/>
      </x:bottom>
    </x:border>
    <x:border>
      <x:bottom style="thin">
        <x:color rgb="FFC7D5D8"/>
      </x:bottom>
    </x:border>
    <x:border>
      <x:top style="thin">
        <x:color rgb="FFC7D5D8"/>
      </x:top>
      <x:bottom style="thin">
        <x:color rgb="FFC7D5D8"/>
      </x:bottom>
    </x:border>
    <x:border>
      <x:left style="medium">
        <x:color rgb="FFC85A16"/>
      </x:left>
      <x:top style="medium">
        <x:color rgb="FFC85A16"/>
      </x:top>
      <x:bottom style="medium">
        <x:color rgb="FFC85A16"/>
      </x:bottom>
    </x:border>
    <x:border>
      <x:top style="medium">
        <x:color rgb="FFC85A16"/>
      </x:top>
      <x:bottom style="medium">
        <x:color rgb="FFC85A16"/>
      </x:bottom>
    </x:border>
    <x:border>
      <x:right style="medium">
        <x:color rgb="FFC85A16"/>
      </x:right>
      <x:top style="medium">
        <x:color rgb="FFC85A16"/>
      </x:top>
      <x:bottom style="medium">
        <x:color rgb="FFC85A16"/>
      </x:bottom>
    </x:border>
    <x:border>
      <x:left style="thin">
        <x:color rgb="FFC7D5D8"/>
      </x:left>
      <x:right style="thin">
        <x:color rgb="FFC7D5D8"/>
      </x:right>
      <x:top style="thin">
        <x:color rgb="FFC7D5D8"/>
      </x:top>
      <x:bottom style="thin">
        <x:color rgb="FFC7D5D8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horizontal="right" vertical="center"/>
    </x:xf>
    <x:xf numFmtId="200" fontId="2" fillId="3" borderId="5" xfId="0" applyNumberFormat="1" applyFont="1" applyFill="1" applyBorder="1" applyAlignment="1">
      <x:alignment horizontal="right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horizontal="right" vertical="center"/>
    </x:xf>
    <x:xf numFmtId="201" fontId="2" fillId="3" borderId="5" xfId="0" applyNumberFormat="1" applyFont="1" applyFill="1" applyBorder="1" applyAlignment="1">
      <x:alignment horizontal="right" vertical="center"/>
    </x:xf>
    <x:xf numFmtId="0" fontId="2" fillId="0" borderId="4" xfId="0" applyNumberFormat="1" applyFont="1" applyFill="1" applyBorder="1" applyAlignment="1">
      <x:alignment horizontal="left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horizontal="center" wrapText="1"/>
    </x:xf>
    <x:xf numFmtId="0" fontId="1" fillId="4" borderId="7" xfId="0" applyNumberFormat="1" applyFont="1" applyFill="1" applyBorder="1" applyAlignment="1">
      <x:alignment horizontal="center" wrapText="1"/>
    </x:xf>
    <x:xf numFmtId="0" fontId="1" fillId="4" borderId="8" xfId="0" applyNumberFormat="1" applyFont="1" applyFill="1" applyBorder="1" applyAlignment="1">
      <x:alignment horizont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4" xfId="0" applyNumberFormat="1" applyFont="1" applyFill="1" applyBorder="1" applyAlignment="1">
      <x:alignment vertical="center"/>
    </x:xf>
    <x:xf numFmtId="0" fontId="2" fillId="5" borderId="5" xfId="0" applyNumberFormat="1" applyFont="1" applyFill="1" applyBorder="1" applyAlignment="1">
      <x:alignment vertical="center"/>
    </x:xf>
    <x:xf numFmtId="202" fontId="2" fillId="5" borderId="4" xfId="0" applyNumberFormat="1" applyFont="1" applyFill="1" applyBorder="1" applyAlignment="1">
      <x:alignment vertical="center"/>
    </x:xf>
    <x:xf numFmtId="202" fontId="2" fillId="5" borderId="5" xfId="0" applyNumberFormat="1" applyFont="1" applyFill="1" applyBorder="1" applyAlignment="1">
      <x:alignment vertical="center"/>
    </x:xf>
    <x:xf numFmtId="202" fontId="2" fillId="5" borderId="4" xfId="0" applyNumberFormat="1" applyFont="1" applyFill="1" applyBorder="1" applyAlignment="1">
      <x:alignment horizontal="right" vertical="center"/>
    </x:xf>
    <x:xf numFmtId="202" fontId="2" fillId="5" borderId="5" xfId="0" applyNumberFormat="1" applyFont="1" applyFill="1" applyBorder="1" applyAlignment="1">
      <x:alignment horizontal="right" vertical="center"/>
    </x:xf>
    <x:xf numFmtId="0" fontId="2" fillId="5" borderId="4" xfId="0" applyNumberFormat="1" applyFont="1" applyFill="1" applyBorder="1" applyAlignment="1">
      <x:alignment horizontal="left" vertical="center"/>
    </x:xf>
    <x:xf numFmtId="0" fontId="2" fillId="5" borderId="5" xfId="0" applyNumberFormat="1" applyFont="1" applyFill="1" applyBorder="1" applyAlignment="1">
      <x:alignment horizontal="left" vertical="center"/>
    </x:xf>
    <x:xf numFmtId="0" fontId="2" fillId="6" borderId="4" xfId="0" applyNumberFormat="1" applyFont="1" applyFill="1" applyBorder="1" applyAlignment="1">
      <x:alignment vertical="center"/>
    </x:xf>
    <x:xf numFmtId="0" fontId="2" fillId="6" borderId="5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6" xfId="0" applyNumberFormat="1" applyFont="1" applyFill="1" applyBorder="1" applyAlignment="1">
      <x:alignment horizontal="center"/>
    </x:xf>
    <x:xf numFmtId="0" fontId="1" fillId="4" borderId="8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3" borderId="0" xfId="0" applyNumberFormat="1" applyFont="1" applyFill="1" applyBorder="1" applyAlignment="1">
      <x:alignment horizontal="right"/>
    </x:xf>
    <x:xf numFmtId="0" fontId="1" fillId="4" borderId="9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/>
    <x:xf numFmtId="203" fontId="2" fillId="3" borderId="9" xfId="0" applyNumberFormat="1" applyFont="1" applyFill="1" applyBorder="1" applyAlignment="1">
      <x:alignment horizontal="right"/>
    </x:xf>
    <x:xf numFmtId="0" fontId="2" fillId="3" borderId="9" xfId="0" applyNumberFormat="1" applyFont="1" applyFill="1" applyBorder="1" applyAlignment="1">
      <x:alignment horizontal="right"/>
    </x:xf>
    <x:xf numFmtId="0" fontId="2" fillId="3" borderId="9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3" borderId="9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5cd4f313447e5" /><Relationship Type="http://schemas.openxmlformats.org/officeDocument/2006/relationships/theme" Target="/xl/theme/theme1.xml" Id="R4353f7b2653d4a88" /><Relationship Type="http://schemas.microsoft.com/office/2022/11/relationships/FeaturePropertyBag" Target="/xl/featurePropertyBag/featurePropertyBag.xml" Id="R8f1fc85319f54eff" /><Relationship Type="http://schemas.openxmlformats.org/officeDocument/2006/relationships/sharedStrings" Target="/xl/sharedStrings.xml" Id="R7def82d47dbc4567" /><Relationship Type="http://schemas.openxmlformats.org/officeDocument/2006/relationships/worksheet" Target="/xl/worksheets/sheet1.xml" Id="R0fe21e76acac4a54" /><Relationship Type="http://schemas.openxmlformats.org/officeDocument/2006/relationships/worksheet" Target="/xl/worksheets/sheet2.xml" Id="R338bf7f3613c46c5" /><Relationship Type="http://schemas.openxmlformats.org/officeDocument/2006/relationships/worksheet" Target="/xl/worksheets/sheet3.xml" Id="Rdad131dde99b42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UploadTable" displayName="ProductUploadTable" ref="A1:J22" headerRowCount="1" totalsRowCount="0" totalsRowShown="0">
  <x:tableColumns count="10">
    <x:tableColumn id="1" name="product_id"/>
    <x:tableColumn id="2" name="product_name"/>
    <x:tableColumn id="3" name="product_length"/>
    <x:tableColumn id="4" name="product_width"/>
    <x:tableColumn id="5" name="product_height"/>
    <x:tableColumn id="6" name="rotation_1"/>
    <x:tableColumn id="7" name="rotation_2"/>
    <x:tableColumn id="8" name="rotation_3"/>
    <x:tableColumn id="9" name="weight"/>
    <x:tableColumn id="10" name="desired_q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erialSourceTable" displayName="ImperialSourceTable" ref="A1:G22" headerRowCount="1" totalsRowCount="0" totalsRowShown="0">
  <x:tableColumns count="7">
    <x:tableColumn id="1" name="product_id"/>
    <x:tableColumn id="2" name="product_name"/>
    <x:tableColumn id="3" name="length_in"/>
    <x:tableColumn id="4" name="width_in"/>
    <x:tableColumn id="5" name="height_in"/>
    <x:tableColumn id="6" name="weight_lb"/>
    <x:tableColumn id="7" name="sour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b90e7dab2b4f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44846efc7b46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</x:cols>
  <x:sheetData>
    <x:row r="1" ht="22" customHeight="1">
      <x:c r="A1" s="12" t="str">
        <x:v>product_id</x:v>
      </x:c>
      <x:c r="B1" s="13" t="str">
        <x:v>product_name</x:v>
      </x:c>
      <x:c r="C1" s="13" t="str">
        <x:v>product_length</x:v>
      </x:c>
      <x:c r="D1" s="13" t="str">
        <x:v>product_width</x:v>
      </x:c>
      <x:c r="E1" s="13" t="str">
        <x:v>product_height</x:v>
      </x:c>
      <x:c r="F1" s="13" t="str">
        <x:v>rotation_1</x:v>
      </x:c>
      <x:c r="G1" s="13" t="str">
        <x:v>rotation_2</x:v>
      </x:c>
      <x:c r="H1" s="13" t="str">
        <x:v>rotation_3</x:v>
      </x:c>
      <x:c r="I1" s="13" t="str">
        <x:v>weight</x:v>
      </x:c>
      <x:c r="J1" s="14" t="str">
        <x:v>desired_qty</x:v>
      </x:c>
    </x:row>
    <x:row r="2" ht="22" customHeight="1">
      <x:c r="A2" s="32" t="str">
        <x:f>'Imperial Source'!A2</x:f>
        <x:v>Lamps</x:v>
      </x:c>
      <x:c r="B2" s="32" t="str">
        <x:f>'Imperial Source'!B2</x:f>
        <x:v>Model 1524</x:v>
      </x:c>
      <x:c r="C2" s="24" t="n">
        <x:f>'Imperial Source'!C2*'Instructions'!$B$4</x:f>
        <x:v>609.5999999999999</x:v>
      </x:c>
      <x:c r="D2" s="24" t="n">
        <x:f>'Imperial Source'!D2*'Instructions'!$B$4</x:f>
        <x:v>533.4</x:v>
      </x:c>
      <x:c r="E2" s="24" t="n">
        <x:f>'Imperial Source'!E2*'Instructions'!$B$4</x:f>
        <x:v>914.4</x:v>
      </x:c>
      <x:c r="F2" s="26" t="b">
        <x:f>'Instructions'!$B$8</x:f>
        <x:v>1</x:v>
      </x:c>
      <x:c r="G2" s="26" t="b">
        <x:f>'Instructions'!$B$9</x:f>
        <x:v>0</x:v>
      </x:c>
      <x:c r="H2" s="26" t="b">
        <x:f>'Instructions'!$B$10</x:f>
        <x:v>0</x:v>
      </x:c>
      <x:c r="I2" s="24" t="n">
        <x:f>'Imperial Source'!F2*'Instructions'!$B$5</x:f>
        <x:v>5.4431084400000005</x:v>
      </x:c>
      <x:c r="J2" s="30" t="n">
        <x:f>'Instructions'!$B$11</x:f>
        <x:v>1</x:v>
      </x:c>
    </x:row>
    <x:row r="3" ht="22" customHeight="1">
      <x:c r="A3" s="33" t="str">
        <x:f>'Imperial Source'!A3</x:f>
        <x:v>Large Drum</x:v>
      </x:c>
      <x:c r="B3" s="33" t="str">
        <x:f>'Imperial Source'!B3</x:f>
        <x:v>Large Drum Sample</x:v>
      </x:c>
      <x:c r="C3" s="25" t="n">
        <x:f>'Imperial Source'!C3*'Instructions'!$B$4</x:f>
        <x:v>762</x:v>
      </x:c>
      <x:c r="D3" s="25" t="n">
        <x:f>'Imperial Source'!D3*'Instructions'!$B$4</x:f>
        <x:v>762</x:v>
      </x:c>
      <x:c r="E3" s="25" t="n">
        <x:f>'Imperial Source'!E3*'Instructions'!$B$4</x:f>
        <x:v>1270</x:v>
      </x:c>
      <x:c r="F3" s="27" t="b">
        <x:f>'Instructions'!$B$8</x:f>
        <x:v>1</x:v>
      </x:c>
      <x:c r="G3" s="27" t="b">
        <x:f>'Instructions'!$B$9</x:f>
        <x:v>0</x:v>
      </x:c>
      <x:c r="H3" s="27" t="b">
        <x:f>'Instructions'!$B$10</x:f>
        <x:v>0</x:v>
      </x:c>
      <x:c r="I3" s="25" t="n">
        <x:f>'Imperial Source'!F3*'Instructions'!$B$5</x:f>
        <x:v>27.2155422</x:v>
      </x:c>
      <x:c r="J3" s="31" t="n">
        <x:f>'Instructions'!$B$11</x:f>
        <x:v>1</x:v>
      </x:c>
    </x:row>
    <x:row r="4" ht="22" customHeight="1">
      <x:c r="A4" s="33" t="str">
        <x:f>'Imperial Source'!A4</x:f>
        <x:v>P129472</x:v>
      </x:c>
      <x:c r="B4" s="33" t="str">
        <x:f>'Imperial Source'!B4</x:f>
      </x:c>
      <x:c r="C4" s="25" t="n">
        <x:f>'Imperial Source'!C4*'Instructions'!$B$4</x:f>
        <x:v>609.5999999999999</x:v>
      </x:c>
      <x:c r="D4" s="25" t="n">
        <x:f>'Imperial Source'!D4*'Instructions'!$B$4</x:f>
        <x:v>228.6</x:v>
      </x:c>
      <x:c r="E4" s="25" t="n">
        <x:f>'Imperial Source'!E4*'Instructions'!$B$4</x:f>
        <x:v>254</x:v>
      </x:c>
      <x:c r="F4" s="27" t="b">
        <x:f>'Instructions'!$B$8</x:f>
        <x:v>1</x:v>
      </x:c>
      <x:c r="G4" s="27" t="b">
        <x:f>'Instructions'!$B$9</x:f>
        <x:v>0</x:v>
      </x:c>
      <x:c r="H4" s="27" t="b">
        <x:f>'Instructions'!$B$10</x:f>
        <x:v>0</x:v>
      </x:c>
      <x:c r="I4" s="25" t="n">
        <x:f>'Imperial Source'!F4*'Instructions'!$B$5</x:f>
        <x:v>4.535923700000001</x:v>
      </x:c>
      <x:c r="J4" s="31" t="n">
        <x:f>'Instructions'!$B$11</x:f>
        <x:v>1</x:v>
      </x:c>
    </x:row>
    <x:row r="5" ht="22" customHeight="1">
      <x:c r="A5" s="33" t="str">
        <x:f>'Imperial Source'!A5</x:f>
        <x:v>Pallet #1</x:v>
      </x:c>
      <x:c r="B5" s="33" t="str">
        <x:f>'Imperial Source'!B5</x:f>
        <x:v>UL Example 1</x:v>
      </x:c>
      <x:c r="C5" s="25" t="n">
        <x:f>'Imperial Source'!C5*'Instructions'!$B$4</x:f>
        <x:v>1143</x:v>
      </x:c>
      <x:c r="D5" s="25" t="n">
        <x:f>'Imperial Source'!D5*'Instructions'!$B$4</x:f>
        <x:v>1041.3999999999999</x:v>
      </x:c>
      <x:c r="E5" s="25" t="n">
        <x:f>'Imperial Source'!E5*'Instructions'!$B$4</x:f>
        <x:v>1397</x:v>
      </x:c>
      <x:c r="F5" s="27" t="b">
        <x:f>'Instructions'!$B$8</x:f>
        <x:v>1</x:v>
      </x:c>
      <x:c r="G5" s="27" t="b">
        <x:f>'Instructions'!$B$9</x:f>
        <x:v>0</x:v>
      </x:c>
      <x:c r="H5" s="27" t="b">
        <x:f>'Instructions'!$B$10</x:f>
        <x:v>0</x:v>
      </x:c>
      <x:c r="I5" s="25" t="n">
        <x:f>'Imperial Source'!F5*'Instructions'!$B$5</x:f>
        <x:v>45.81282937</x:v>
      </x:c>
      <x:c r="J5" s="31" t="n">
        <x:f>'Instructions'!$B$11</x:f>
        <x:v>1</x:v>
      </x:c>
    </x:row>
    <x:row r="6" ht="22" customHeight="1">
      <x:c r="A6" s="33" t="str">
        <x:f>'Imperial Source'!A6</x:f>
        <x:v>Pallet #2</x:v>
      </x:c>
      <x:c r="B6" s="33" t="str">
        <x:f>'Imperial Source'!B6</x:f>
        <x:v>UL Example 2</x:v>
      </x:c>
      <x:c r="C6" s="25" t="n">
        <x:f>'Imperial Source'!C6*'Instructions'!$B$4</x:f>
        <x:v>1270</x:v>
      </x:c>
      <x:c r="D6" s="25" t="n">
        <x:f>'Imperial Source'!D6*'Instructions'!$B$4</x:f>
        <x:v>1066.8</x:v>
      </x:c>
      <x:c r="E6" s="25" t="n">
        <x:f>'Imperial Source'!E6*'Instructions'!$B$4</x:f>
        <x:v>1524</x:v>
      </x:c>
      <x:c r="F6" s="27" t="b">
        <x:f>'Instructions'!$B$8</x:f>
        <x:v>1</x:v>
      </x:c>
      <x:c r="G6" s="27" t="b">
        <x:f>'Instructions'!$B$9</x:f>
        <x:v>0</x:v>
      </x:c>
      <x:c r="H6" s="27" t="b">
        <x:f>'Instructions'!$B$10</x:f>
        <x:v>0</x:v>
      </x:c>
      <x:c r="I6" s="25" t="n">
        <x:f>'Imperial Source'!F6*'Instructions'!$B$5</x:f>
        <x:v>46.266421740000006</x:v>
      </x:c>
      <x:c r="J6" s="31" t="n">
        <x:f>'Instructions'!$B$11</x:f>
        <x:v>1</x:v>
      </x:c>
    </x:row>
    <x:row r="7" ht="22" customHeight="1">
      <x:c r="A7" s="33" t="str">
        <x:f>'Imperial Source'!A7</x:f>
        <x:v>Pallet #3</x:v>
      </x:c>
      <x:c r="B7" s="33" t="str">
        <x:f>'Imperial Source'!B7</x:f>
        <x:v>UL Example 3</x:v>
      </x:c>
      <x:c r="C7" s="25" t="n">
        <x:f>'Imperial Source'!C7*'Instructions'!$B$4</x:f>
        <x:v>1219.1999999999998</x:v>
      </x:c>
      <x:c r="D7" s="25" t="n">
        <x:f>'Imperial Source'!D7*'Instructions'!$B$4</x:f>
        <x:v>1016</x:v>
      </x:c>
      <x:c r="E7" s="25" t="n">
        <x:f>'Imperial Source'!E7*'Instructions'!$B$4</x:f>
        <x:v>1397</x:v>
      </x:c>
      <x:c r="F7" s="27" t="b">
        <x:f>'Instructions'!$B$8</x:f>
        <x:v>1</x:v>
      </x:c>
      <x:c r="G7" s="27" t="b">
        <x:f>'Instructions'!$B$9</x:f>
        <x:v>0</x:v>
      </x:c>
      <x:c r="H7" s="27" t="b">
        <x:f>'Instructions'!$B$10</x:f>
        <x:v>0</x:v>
      </x:c>
      <x:c r="I7" s="25" t="n">
        <x:f>'Imperial Source'!F7*'Instructions'!$B$5</x:f>
        <x:v>46.72001411</x:v>
      </x:c>
      <x:c r="J7" s="31" t="n">
        <x:f>'Instructions'!$B$11</x:f>
        <x:v>1</x:v>
      </x:c>
    </x:row>
    <x:row r="8" ht="22" customHeight="1">
      <x:c r="A8" s="33" t="str">
        <x:f>'Imperial Source'!A8</x:f>
        <x:v>Pallet #4</x:v>
      </x:c>
      <x:c r="B8" s="33" t="str">
        <x:f>'Imperial Source'!B8</x:f>
        <x:v>UL Example 4</x:v>
      </x:c>
      <x:c r="C8" s="25" t="n">
        <x:f>'Imperial Source'!C8*'Instructions'!$B$4</x:f>
        <x:v>1524</x:v>
      </x:c>
      <x:c r="D8" s="25" t="n">
        <x:f>'Imperial Source'!D8*'Instructions'!$B$4</x:f>
        <x:v>762</x:v>
      </x:c>
      <x:c r="E8" s="25" t="n">
        <x:f>'Imperial Source'!E8*'Instructions'!$B$4</x:f>
        <x:v>1219.1999999999998</x:v>
      </x:c>
      <x:c r="F8" s="27" t="b">
        <x:f>'Instructions'!$B$8</x:f>
        <x:v>1</x:v>
      </x:c>
      <x:c r="G8" s="27" t="b">
        <x:f>'Instructions'!$B$9</x:f>
        <x:v>0</x:v>
      </x:c>
      <x:c r="H8" s="27" t="b">
        <x:f>'Instructions'!$B$10</x:f>
        <x:v>0</x:v>
      </x:c>
      <x:c r="I8" s="25" t="n">
        <x:f>'Imperial Source'!F8*'Instructions'!$B$5</x:f>
        <x:v>47.173606480000004</x:v>
      </x:c>
      <x:c r="J8" s="31" t="n">
        <x:f>'Instructions'!$B$11</x:f>
        <x:v>1</x:v>
      </x:c>
    </x:row>
    <x:row r="9" ht="22" customHeight="1">
      <x:c r="A9" s="33" t="str">
        <x:f>'Imperial Source'!A9</x:f>
        <x:v>Pallet #5</x:v>
      </x:c>
      <x:c r="B9" s="33" t="str">
        <x:f>'Imperial Source'!B9</x:f>
        <x:v>UL Example 5</x:v>
      </x:c>
      <x:c r="C9" s="25" t="n">
        <x:f>'Imperial Source'!C9*'Instructions'!$B$4</x:f>
        <x:v>1219.1999999999998</x:v>
      </x:c>
      <x:c r="D9" s="25" t="n">
        <x:f>'Imperial Source'!D9*'Instructions'!$B$4</x:f>
        <x:v>1219.1999999999998</x:v>
      </x:c>
      <x:c r="E9" s="25" t="n">
        <x:f>'Imperial Source'!E9*'Instructions'!$B$4</x:f>
        <x:v>1270</x:v>
      </x:c>
      <x:c r="F9" s="27" t="b">
        <x:f>'Instructions'!$B$8</x:f>
        <x:v>1</x:v>
      </x:c>
      <x:c r="G9" s="27" t="b">
        <x:f>'Instructions'!$B$9</x:f>
        <x:v>0</x:v>
      </x:c>
      <x:c r="H9" s="27" t="b">
        <x:f>'Instructions'!$B$10</x:f>
        <x:v>0</x:v>
      </x:c>
      <x:c r="I9" s="25" t="n">
        <x:f>'Imperial Source'!F9*'Instructions'!$B$5</x:f>
        <x:v>47.62719885</x:v>
      </x:c>
      <x:c r="J9" s="31" t="n">
        <x:f>'Instructions'!$B$11</x:f>
        <x:v>1</x:v>
      </x:c>
    </x:row>
    <x:row r="10" ht="22" customHeight="1">
      <x:c r="A10" s="33" t="str">
        <x:f>'Imperial Source'!A10</x:f>
        <x:v>Potato Chips</x:v>
      </x:c>
      <x:c r="B10" s="33" t="str">
        <x:f>'Imperial Source'!B10</x:f>
        <x:v>Snack Size 50 Ct.</x:v>
      </x:c>
      <x:c r="C10" s="25" t="n">
        <x:f>'Imperial Source'!C10*'Instructions'!$B$4</x:f>
        <x:v>609.5999999999999</x:v>
      </x:c>
      <x:c r="D10" s="25" t="n">
        <x:f>'Imperial Source'!D10*'Instructions'!$B$4</x:f>
        <x:v>406.4</x:v>
      </x:c>
      <x:c r="E10" s="25" t="n">
        <x:f>'Imperial Source'!E10*'Instructions'!$B$4</x:f>
        <x:v>254</x:v>
      </x:c>
      <x:c r="F10" s="27" t="b">
        <x:f>'Instructions'!$B$8</x:f>
        <x:v>1</x:v>
      </x:c>
      <x:c r="G10" s="27" t="b">
        <x:f>'Instructions'!$B$9</x:f>
        <x:v>0</x:v>
      </x:c>
      <x:c r="H10" s="27" t="b">
        <x:f>'Instructions'!$B$10</x:f>
        <x:v>0</x:v>
      </x:c>
      <x:c r="I10" s="25" t="n">
        <x:f>'Imperial Source'!F10*'Instructions'!$B$5</x:f>
        <x:v>0.34019427750000003</x:v>
      </x:c>
      <x:c r="J10" s="31" t="n">
        <x:f>'Instructions'!$B$11</x:f>
        <x:v>1</x:v>
      </x:c>
    </x:row>
    <x:row r="11" ht="22" customHeight="1">
      <x:c r="A11" s="33" t="str">
        <x:f>'Imperial Source'!A11</x:f>
        <x:v>Refrigerator</x:v>
      </x:c>
      <x:c r="B11" s="33" t="str">
        <x:f>'Imperial Source'!B11</x:f>
        <x:v>Model 363-2</x:v>
      </x:c>
      <x:c r="C11" s="25" t="n">
        <x:f>'Imperial Source'!C11*'Instructions'!$B$4</x:f>
        <x:v>812.8</x:v>
      </x:c>
      <x:c r="D11" s="25" t="n">
        <x:f>'Imperial Source'!D11*'Instructions'!$B$4</x:f>
        <x:v>736.5999999999999</x:v>
      </x:c>
      <x:c r="E11" s="25" t="n">
        <x:f>'Imperial Source'!E11*'Instructions'!$B$4</x:f>
        <x:v>1651</x:v>
      </x:c>
      <x:c r="F11" s="27" t="b">
        <x:f>'Instructions'!$B$8</x:f>
        <x:v>1</x:v>
      </x:c>
      <x:c r="G11" s="27" t="b">
        <x:f>'Instructions'!$B$9</x:f>
        <x:v>0</x:v>
      </x:c>
      <x:c r="H11" s="27" t="b">
        <x:f>'Instructions'!$B$10</x:f>
        <x:v>0</x:v>
      </x:c>
      <x:c r="I11" s="25" t="n">
        <x:f>'Imperial Source'!F11*'Instructions'!$B$5</x:f>
        <x:v>39.46253619</x:v>
      </x:c>
      <x:c r="J11" s="31" t="n">
        <x:f>'Instructions'!$B$11</x:f>
        <x:v>1</x:v>
      </x:c>
    </x:row>
    <x:row r="12" ht="22" customHeight="1">
      <x:c r="A12" s="33" t="str">
        <x:f>'Imperial Source'!A12</x:f>
        <x:v>Saltines</x:v>
      </x:c>
      <x:c r="B12" s="33" t="str">
        <x:f>'Imperial Source'!B12</x:f>
        <x:v>Low Fat 20 Ct.</x:v>
      </x:c>
      <x:c r="C12" s="25" t="n">
        <x:f>'Imperial Source'!C12*'Instructions'!$B$4</x:f>
        <x:v>609.5999999999999</x:v>
      </x:c>
      <x:c r="D12" s="25" t="n">
        <x:f>'Imperial Source'!D12*'Instructions'!$B$4</x:f>
        <x:v>495.29999999999995</x:v>
      </x:c>
      <x:c r="E12" s="25" t="n">
        <x:f>'Imperial Source'!E12*'Instructions'!$B$4</x:f>
        <x:v>406.4</x:v>
      </x:c>
      <x:c r="F12" s="27" t="b">
        <x:f>'Instructions'!$B$8</x:f>
        <x:v>1</x:v>
      </x:c>
      <x:c r="G12" s="27" t="b">
        <x:f>'Instructions'!$B$9</x:f>
        <x:v>0</x:v>
      </x:c>
      <x:c r="H12" s="27" t="b">
        <x:f>'Instructions'!$B$10</x:f>
        <x:v>0</x:v>
      </x:c>
      <x:c r="I12" s="25" t="n">
        <x:f>'Imperial Source'!F12*'Instructions'!$B$5</x:f>
        <x:v>0.1133980925</x:v>
      </x:c>
      <x:c r="J12" s="31" t="n">
        <x:f>'Instructions'!$B$11</x:f>
        <x:v>1</x:v>
      </x:c>
    </x:row>
    <x:row r="13" ht="22" customHeight="1">
      <x:c r="A13" s="33" t="str">
        <x:f>'Imperial Source'!A13</x:f>
        <x:v>SKU302473</x:v>
      </x:c>
      <x:c r="B13" s="33" t="str">
        <x:f>'Imperial Source'!B13</x:f>
      </x:c>
      <x:c r="C13" s="25" t="n">
        <x:f>'Imperial Source'!C13*'Instructions'!$B$4</x:f>
        <x:v>457.2</x:v>
      </x:c>
      <x:c r="D13" s="25" t="n">
        <x:f>'Imperial Source'!D13*'Instructions'!$B$4</x:f>
        <x:v>279.4</x:v>
      </x:c>
      <x:c r="E13" s="25" t="n">
        <x:f>'Imperial Source'!E13*'Instructions'!$B$4</x:f>
        <x:v>317.5</x:v>
      </x:c>
      <x:c r="F13" s="27" t="b">
        <x:f>'Instructions'!$B$8</x:f>
        <x:v>1</x:v>
      </x:c>
      <x:c r="G13" s="27" t="b">
        <x:f>'Instructions'!$B$9</x:f>
        <x:v>0</x:v>
      </x:c>
      <x:c r="H13" s="27" t="b">
        <x:f>'Instructions'!$B$10</x:f>
        <x:v>0</x:v>
      </x:c>
      <x:c r="I13" s="25" t="n">
        <x:f>'Imperial Source'!F13*'Instructions'!$B$5</x:f>
        <x:v>0.226796185</x:v>
      </x:c>
      <x:c r="J13" s="31" t="n">
        <x:f>'Instructions'!$B$11</x:f>
        <x:v>1</x:v>
      </x:c>
    </x:row>
    <x:row r="14" ht="22" customHeight="1">
      <x:c r="A14" s="33" t="str">
        <x:f>'Imperial Source'!A14</x:f>
        <x:v>SKU503739</x:v>
      </x:c>
      <x:c r="B14" s="33" t="str">
        <x:f>'Imperial Source'!B14</x:f>
      </x:c>
      <x:c r="C14" s="25" t="n">
        <x:f>'Imperial Source'!C14*'Instructions'!$B$4</x:f>
        <x:v>431.79999999999995</x:v>
      </x:c>
      <x:c r="D14" s="25" t="n">
        <x:f>'Imperial Source'!D14*'Instructions'!$B$4</x:f>
        <x:v>318.77</x:v>
      </x:c>
      <x:c r="E14" s="25" t="n">
        <x:f>'Imperial Source'!E14*'Instructions'!$B$4</x:f>
        <x:v>317.5</x:v>
      </x:c>
      <x:c r="F14" s="27" t="b">
        <x:f>'Instructions'!$B$8</x:f>
        <x:v>1</x:v>
      </x:c>
      <x:c r="G14" s="27" t="b">
        <x:f>'Instructions'!$B$9</x:f>
        <x:v>0</x:v>
      </x:c>
      <x:c r="H14" s="27" t="b">
        <x:f>'Instructions'!$B$10</x:f>
        <x:v>0</x:v>
      </x:c>
      <x:c r="I14" s="25" t="n">
        <x:f>'Imperial Source'!F14*'Instructions'!$B$5</x:f>
        <x:v>0.90718474</x:v>
      </x:c>
      <x:c r="J14" s="31" t="n">
        <x:f>'Instructions'!$B$11</x:f>
        <x:v>1</x:v>
      </x:c>
    </x:row>
    <x:row r="15" ht="22" customHeight="1">
      <x:c r="A15" s="33" t="str">
        <x:f>'Imperial Source'!A15</x:f>
        <x:v>SKU57392</x:v>
      </x:c>
      <x:c r="B15" s="33" t="str">
        <x:f>'Imperial Source'!B15</x:f>
        <x:v>Case Pack 12</x:v>
      </x:c>
      <x:c r="C15" s="25" t="n">
        <x:f>'Imperial Source'!C15*'Instructions'!$B$4</x:f>
        <x:v>558.8</x:v>
      </x:c>
      <x:c r="D15" s="25" t="n">
        <x:f>'Imperial Source'!D15*'Instructions'!$B$4</x:f>
        <x:v>377.44399999999996</x:v>
      </x:c>
      <x:c r="E15" s="25" t="n">
        <x:f>'Imperial Source'!E15*'Instructions'!$B$4</x:f>
        <x:v>317.5</x:v>
      </x:c>
      <x:c r="F15" s="27" t="b">
        <x:f>'Instructions'!$B$8</x:f>
        <x:v>1</x:v>
      </x:c>
      <x:c r="G15" s="27" t="b">
        <x:f>'Instructions'!$B$9</x:f>
        <x:v>0</x:v>
      </x:c>
      <x:c r="H15" s="27" t="b">
        <x:f>'Instructions'!$B$10</x:f>
        <x:v>0</x:v>
      </x:c>
      <x:c r="I15" s="25" t="n">
        <x:f>'Imperial Source'!F15*'Instructions'!$B$5</x:f>
        <x:v>0.90718474</x:v>
      </x:c>
      <x:c r="J15" s="31" t="n">
        <x:f>'Instructions'!$B$11</x:f>
        <x:v>1</x:v>
      </x:c>
    </x:row>
    <x:row r="16" ht="22" customHeight="1">
      <x:c r="A16" s="33" t="str">
        <x:f>'Imperial Source'!A16</x:f>
        <x:v>SKU9876</x:v>
      </x:c>
      <x:c r="B16" s="33" t="str">
        <x:f>'Imperial Source'!B16</x:f>
        <x:v>Case Pack</x:v>
      </x:c>
      <x:c r="C16" s="25" t="n">
        <x:f>'Imperial Source'!C16*'Instructions'!$B$4</x:f>
        <x:v>558.8</x:v>
      </x:c>
      <x:c r="D16" s="25" t="n">
        <x:f>'Imperial Source'!D16*'Instructions'!$B$4</x:f>
        <x:v>355.59999999999997</x:v>
      </x:c>
      <x:c r="E16" s="25" t="n">
        <x:f>'Imperial Source'!E16*'Instructions'!$B$4</x:f>
        <x:v>381</x:v>
      </x:c>
      <x:c r="F16" s="27" t="b">
        <x:f>'Instructions'!$B$8</x:f>
        <x:v>1</x:v>
      </x:c>
      <x:c r="G16" s="27" t="b">
        <x:f>'Instructions'!$B$9</x:f>
        <x:v>0</x:v>
      </x:c>
      <x:c r="H16" s="27" t="b">
        <x:f>'Instructions'!$B$10</x:f>
        <x:v>0</x:v>
      </x:c>
      <x:c r="I16" s="25" t="n">
        <x:f>'Imperial Source'!F16*'Instructions'!$B$5</x:f>
        <x:v>2.2679618500000003</x:v>
      </x:c>
      <x:c r="J16" s="31" t="n">
        <x:f>'Instructions'!$B$11</x:f>
        <x:v>1</x:v>
      </x:c>
    </x:row>
    <x:row r="17" ht="22" customHeight="1">
      <x:c r="A17" s="33" t="str">
        <x:f>'Imperial Source'!A17</x:f>
        <x:v>Stereo</x:v>
      </x:c>
      <x:c r="B17" s="33" t="str">
        <x:f>'Imperial Source'!B17</x:f>
        <x:v>Surround Sound</x:v>
      </x:c>
      <x:c r="C17" s="25" t="n">
        <x:f>'Imperial Source'!C17*'Instructions'!$B$4</x:f>
        <x:v>736.5999999999999</x:v>
      </x:c>
      <x:c r="D17" s="25" t="n">
        <x:f>'Imperial Source'!D17*'Instructions'!$B$4</x:f>
        <x:v>431.79999999999995</x:v>
      </x:c>
      <x:c r="E17" s="25" t="n">
        <x:f>'Imperial Source'!E17*'Instructions'!$B$4</x:f>
        <x:v>304.79999999999995</x:v>
      </x:c>
      <x:c r="F17" s="27" t="b">
        <x:f>'Instructions'!$B$8</x:f>
        <x:v>1</x:v>
      </x:c>
      <x:c r="G17" s="27" t="b">
        <x:f>'Instructions'!$B$9</x:f>
        <x:v>0</x:v>
      </x:c>
      <x:c r="H17" s="27" t="b">
        <x:f>'Instructions'!$B$10</x:f>
        <x:v>0</x:v>
      </x:c>
      <x:c r="I17" s="25" t="n">
        <x:f>'Imperial Source'!F17*'Instructions'!$B$5</x:f>
        <x:v>9.52543977</x:v>
      </x:c>
      <x:c r="J17" s="31" t="n">
        <x:f>'Instructions'!$B$11</x:f>
        <x:v>1</x:v>
      </x:c>
    </x:row>
    <x:row r="18" ht="22" customHeight="1">
      <x:c r="A18" s="33" t="str">
        <x:f>'Imperial Source'!A18</x:f>
        <x:v>Stove</x:v>
      </x:c>
      <x:c r="B18" s="33" t="str">
        <x:f>'Imperial Source'!B18</x:f>
        <x:v>5 Burner</x:v>
      </x:c>
      <x:c r="C18" s="25" t="n">
        <x:f>'Imperial Source'!C18*'Instructions'!$B$4</x:f>
        <x:v>1041.3999999999999</x:v>
      </x:c>
      <x:c r="D18" s="25" t="n">
        <x:f>'Imperial Source'!D18*'Instructions'!$B$4</x:f>
        <x:v>939.8</x:v>
      </x:c>
      <x:c r="E18" s="25" t="n">
        <x:f>'Imperial Source'!E18*'Instructions'!$B$4</x:f>
        <x:v>1066.8</x:v>
      </x:c>
      <x:c r="F18" s="27" t="b">
        <x:f>'Instructions'!$B$8</x:f>
        <x:v>1</x:v>
      </x:c>
      <x:c r="G18" s="27" t="b">
        <x:f>'Instructions'!$B$9</x:f>
        <x:v>0</x:v>
      </x:c>
      <x:c r="H18" s="27" t="b">
        <x:f>'Instructions'!$B$10</x:f>
        <x:v>0</x:v>
      </x:c>
      <x:c r="I18" s="25" t="n">
        <x:f>'Imperial Source'!F18*'Instructions'!$B$5</x:f>
        <x:v>226.796185</x:v>
      </x:c>
      <x:c r="J18" s="31" t="n">
        <x:f>'Instructions'!$B$11</x:f>
        <x:v>1</x:v>
      </x:c>
    </x:row>
    <x:row r="19" ht="22" customHeight="1">
      <x:c r="A19" s="33" t="str">
        <x:f>'Imperial Source'!A19</x:f>
        <x:v>T-20 1-1/2x60x108 Black</x:v>
      </x:c>
      <x:c r="B19" s="33" t="str">
        <x:f>'Imperial Source'!B19</x:f>
        <x:v>Sheet</x:v>
      </x:c>
      <x:c r="C19" s="25" t="n">
        <x:f>'Imperial Source'!C19*'Instructions'!$B$4</x:f>
        <x:v>2794</x:v>
      </x:c>
      <x:c r="D19" s="25" t="n">
        <x:f>'Imperial Source'!D19*'Instructions'!$B$4</x:f>
        <x:v>1524</x:v>
      </x:c>
      <x:c r="E19" s="25" t="n">
        <x:f>'Imperial Source'!E19*'Instructions'!$B$4</x:f>
        <x:v>39.37</x:v>
      </x:c>
      <x:c r="F19" s="27" t="b">
        <x:f>'Instructions'!$B$8</x:f>
        <x:v>1</x:v>
      </x:c>
      <x:c r="G19" s="27" t="b">
        <x:f>'Instructions'!$B$9</x:f>
        <x:v>0</x:v>
      </x:c>
      <x:c r="H19" s="27" t="b">
        <x:f>'Instructions'!$B$10</x:f>
        <x:v>0</x:v>
      </x:c>
      <x:c r="I19" s="25" t="n">
        <x:f>'Imperial Source'!F19*'Instructions'!$B$5</x:f>
        <x:v>5.8967008100000005</x:v>
      </x:c>
      <x:c r="J19" s="31" t="n">
        <x:f>'Instructions'!$B$11</x:f>
        <x:v>1</x:v>
      </x:c>
    </x:row>
    <x:row r="20" ht="22" customHeight="1">
      <x:c r="A20" s="33" t="str">
        <x:f>'Imperial Source'!A20</x:f>
        <x:v>T-20 1/2x60x108 Black</x:v>
      </x:c>
      <x:c r="B20" s="33" t="str">
        <x:f>'Imperial Source'!B20</x:f>
        <x:v>Sheet</x:v>
      </x:c>
      <x:c r="C20" s="25" t="n">
        <x:f>'Imperial Source'!C20*'Instructions'!$B$4</x:f>
        <x:v>2794</x:v>
      </x:c>
      <x:c r="D20" s="25" t="n">
        <x:f>'Imperial Source'!D20*'Instructions'!$B$4</x:f>
        <x:v>1524</x:v>
      </x:c>
      <x:c r="E20" s="25" t="n">
        <x:f>'Imperial Source'!E20*'Instructions'!$B$4</x:f>
        <x:v>13.97</x:v>
      </x:c>
      <x:c r="F20" s="27" t="b">
        <x:f>'Instructions'!$B$8</x:f>
        <x:v>1</x:v>
      </x:c>
      <x:c r="G20" s="27" t="b">
        <x:f>'Instructions'!$B$9</x:f>
        <x:v>0</x:v>
      </x:c>
      <x:c r="H20" s="27" t="b">
        <x:f>'Instructions'!$B$10</x:f>
        <x:v>0</x:v>
      </x:c>
      <x:c r="I20" s="25" t="n">
        <x:f>'Imperial Source'!F20*'Instructions'!$B$5</x:f>
        <x:v>2.2679618500000003</x:v>
      </x:c>
      <x:c r="J20" s="31" t="n">
        <x:f>'Instructions'!$B$11</x:f>
        <x:v>1</x:v>
      </x:c>
    </x:row>
    <x:row r="21" ht="22" customHeight="1">
      <x:c r="A21" s="33" t="str">
        <x:f>'Imperial Source'!A21</x:f>
        <x:v>T-20 1/2x60x108 Red/Yellow</x:v>
      </x:c>
      <x:c r="B21" s="33" t="str">
        <x:f>'Imperial Source'!B21</x:f>
        <x:v>Sheet</x:v>
      </x:c>
      <x:c r="C21" s="25" t="n">
        <x:f>'Imperial Source'!C21*'Instructions'!$B$4</x:f>
        <x:v>2794</x:v>
      </x:c>
      <x:c r="D21" s="25" t="n">
        <x:f>'Imperial Source'!D21*'Instructions'!$B$4</x:f>
        <x:v>1524</x:v>
      </x:c>
      <x:c r="E21" s="25" t="n">
        <x:f>'Imperial Source'!E21*'Instructions'!$B$4</x:f>
        <x:v>13.97</x:v>
      </x:c>
      <x:c r="F21" s="27" t="b">
        <x:f>'Instructions'!$B$8</x:f>
        <x:v>1</x:v>
      </x:c>
      <x:c r="G21" s="27" t="b">
        <x:f>'Instructions'!$B$9</x:f>
        <x:v>0</x:v>
      </x:c>
      <x:c r="H21" s="27" t="b">
        <x:f>'Instructions'!$B$10</x:f>
        <x:v>0</x:v>
      </x:c>
      <x:c r="I21" s="25" t="n">
        <x:f>'Imperial Source'!F21*'Instructions'!$B$5</x:f>
        <x:v>2.2679618500000003</x:v>
      </x:c>
      <x:c r="J21" s="31" t="n">
        <x:f>'Instructions'!$B$11</x:f>
        <x:v>1</x:v>
      </x:c>
    </x:row>
    <x:row r="22" ht="22" customHeight="1">
      <x:c r="A22" s="33" t="str">
        <x:f>'Imperial Source'!A22</x:f>
        <x:v>T-20 1/4x60x100 Blue</x:v>
      </x:c>
      <x:c r="B22" s="33" t="str">
        <x:f>'Imperial Source'!B22</x:f>
        <x:v>Sheet</x:v>
      </x:c>
      <x:c r="C22" s="25" t="n">
        <x:f>'Imperial Source'!C22*'Instructions'!$B$4</x:f>
        <x:v>533.4</x:v>
      </x:c>
      <x:c r="D22" s="25" t="n">
        <x:f>'Imperial Source'!D22*'Instructions'!$B$4</x:f>
        <x:v>533.4</x:v>
      </x:c>
      <x:c r="E22" s="25" t="n">
        <x:f>'Imperial Source'!E22*'Instructions'!$B$4</x:f>
        <x:v>1524</x:v>
      </x:c>
      <x:c r="F22" s="27" t="b">
        <x:f>'Instructions'!$B$8</x:f>
        <x:v>1</x:v>
      </x:c>
      <x:c r="G22" s="27" t="b">
        <x:f>'Instructions'!$B$9</x:f>
        <x:v>0</x:v>
      </x:c>
      <x:c r="H22" s="27" t="b">
        <x:f>'Instructions'!$B$10</x:f>
        <x:v>0</x:v>
      </x:c>
      <x:c r="I22" s="25" t="n">
        <x:f>'Imperial Source'!F22*'Instructions'!$B$5</x:f>
        <x:v>14.06136347</x:v>
      </x:c>
      <x:c r="J22" s="31" t="n">
        <x:f>'Instructions'!$B$11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4b90e7dab2b4fc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6" hidden="0" customWidth="1"/>
  </x:cols>
  <x:sheetData>
    <x:row r="1" ht="32" customHeight="1">
      <x:c r="A1" s="45" t="str">
        <x:v>product_id</x:v>
      </x:c>
      <x:c r="B1" s="46" t="str">
        <x:v>product_name</x:v>
      </x:c>
      <x:c r="C1" s="46" t="str">
        <x:v>length_in</x:v>
      </x:c>
      <x:c r="D1" s="46" t="str">
        <x:v>width_in</x:v>
      </x:c>
      <x:c r="E1" s="46" t="str">
        <x:v>height_in</x:v>
      </x:c>
      <x:c r="F1" s="46" t="str">
        <x:v>weight_lb</x:v>
      </x:c>
      <x:c r="G1" s="47" t="str">
        <x:v>source_note</x:v>
      </x:c>
    </x:row>
    <x:row r="2" ht="22" customHeight="1">
      <x:c r="A2" s="58" t="str">
        <x:v>Lamps</x:v>
      </x:c>
      <x:c r="B2" s="58" t="str">
        <x:v>Model 1524</x:v>
      </x:c>
      <x:c r="C2" s="56" t="n">
        <x:v>24</x:v>
      </x:c>
      <x:c r="D2" s="56" t="n">
        <x:v>21</x:v>
      </x:c>
      <x:c r="E2" s="56" t="n">
        <x:v>36</x:v>
      </x:c>
      <x:c r="F2" s="56" t="n">
        <x:v>12</x:v>
      </x:c>
      <x:c r="G2" s="64" t="str">
        <x:v>Visible screenshot row</x:v>
      </x:c>
    </x:row>
    <x:row r="3" ht="22" customHeight="1">
      <x:c r="A3" s="59" t="str">
        <x:v>Large Drum</x:v>
      </x:c>
      <x:c r="B3" s="59" t="str">
        <x:v>Large Drum Sample</x:v>
      </x:c>
      <x:c r="C3" s="57" t="n">
        <x:v>30</x:v>
      </x:c>
      <x:c r="D3" s="57" t="n">
        <x:v>30</x:v>
      </x:c>
      <x:c r="E3" s="57" t="n">
        <x:v>50</x:v>
      </x:c>
      <x:c r="F3" s="57" t="n">
        <x:v>60</x:v>
      </x:c>
      <x:c r="G3" s="65" t="str">
        <x:v>Visible screenshot row</x:v>
      </x:c>
    </x:row>
    <x:row r="4" ht="22" customHeight="1">
      <x:c r="A4" s="59" t="str">
        <x:v>P129472</x:v>
      </x:c>
      <x:c r="B4" s="59" t="str"/>
      <x:c r="C4" s="57" t="n">
        <x:v>24</x:v>
      </x:c>
      <x:c r="D4" s="57" t="n">
        <x:v>9</x:v>
      </x:c>
      <x:c r="E4" s="57" t="n">
        <x:v>10</x:v>
      </x:c>
      <x:c r="F4" s="57" t="n">
        <x:v>10</x:v>
      </x:c>
      <x:c r="G4" s="65" t="str">
        <x:v>Visible screenshot row; description blank</x:v>
      </x:c>
    </x:row>
    <x:row r="5" ht="22" customHeight="1">
      <x:c r="A5" s="59" t="str">
        <x:v>Pallet #1</x:v>
      </x:c>
      <x:c r="B5" s="59" t="str">
        <x:v>UL Example 1</x:v>
      </x:c>
      <x:c r="C5" s="57" t="n">
        <x:v>45</x:v>
      </x:c>
      <x:c r="D5" s="57" t="n">
        <x:v>41</x:v>
      </x:c>
      <x:c r="E5" s="57" t="n">
        <x:v>55</x:v>
      </x:c>
      <x:c r="F5" s="57" t="n">
        <x:v>101</x:v>
      </x:c>
      <x:c r="G5" s="65" t="str">
        <x:v>Visible screenshot row</x:v>
      </x:c>
    </x:row>
    <x:row r="6" ht="22" customHeight="1">
      <x:c r="A6" s="59" t="str">
        <x:v>Pallet #2</x:v>
      </x:c>
      <x:c r="B6" s="59" t="str">
        <x:v>UL Example 2</x:v>
      </x:c>
      <x:c r="C6" s="57" t="n">
        <x:v>50</x:v>
      </x:c>
      <x:c r="D6" s="57" t="n">
        <x:v>42</x:v>
      </x:c>
      <x:c r="E6" s="57" t="n">
        <x:v>60</x:v>
      </x:c>
      <x:c r="F6" s="57" t="n">
        <x:v>102</x:v>
      </x:c>
      <x:c r="G6" s="65" t="str">
        <x:v>Visible screenshot row</x:v>
      </x:c>
    </x:row>
    <x:row r="7" ht="22" customHeight="1">
      <x:c r="A7" s="59" t="str">
        <x:v>Pallet #3</x:v>
      </x:c>
      <x:c r="B7" s="59" t="str">
        <x:v>UL Example 3</x:v>
      </x:c>
      <x:c r="C7" s="57" t="n">
        <x:v>48</x:v>
      </x:c>
      <x:c r="D7" s="57" t="n">
        <x:v>40</x:v>
      </x:c>
      <x:c r="E7" s="57" t="n">
        <x:v>55</x:v>
      </x:c>
      <x:c r="F7" s="57" t="n">
        <x:v>103</x:v>
      </x:c>
      <x:c r="G7" s="65" t="str">
        <x:v>Visible screenshot row</x:v>
      </x:c>
    </x:row>
    <x:row r="8" ht="22" customHeight="1">
      <x:c r="A8" s="59" t="str">
        <x:v>Pallet #4</x:v>
      </x:c>
      <x:c r="B8" s="59" t="str">
        <x:v>UL Example 4</x:v>
      </x:c>
      <x:c r="C8" s="57" t="n">
        <x:v>60</x:v>
      </x:c>
      <x:c r="D8" s="57" t="n">
        <x:v>30</x:v>
      </x:c>
      <x:c r="E8" s="57" t="n">
        <x:v>48</x:v>
      </x:c>
      <x:c r="F8" s="57" t="n">
        <x:v>104</x:v>
      </x:c>
      <x:c r="G8" s="65" t="str">
        <x:v>Visible screenshot row</x:v>
      </x:c>
    </x:row>
    <x:row r="9" ht="22" customHeight="1">
      <x:c r="A9" s="59" t="str">
        <x:v>Pallet #5</x:v>
      </x:c>
      <x:c r="B9" s="59" t="str">
        <x:v>UL Example 5</x:v>
      </x:c>
      <x:c r="C9" s="57" t="n">
        <x:v>48</x:v>
      </x:c>
      <x:c r="D9" s="57" t="n">
        <x:v>48</x:v>
      </x:c>
      <x:c r="E9" s="57" t="n">
        <x:v>50</x:v>
      </x:c>
      <x:c r="F9" s="57" t="n">
        <x:v>105</x:v>
      </x:c>
      <x:c r="G9" s="65" t="str">
        <x:v>Visible screenshot row</x:v>
      </x:c>
    </x:row>
    <x:row r="10" ht="22" customHeight="1">
      <x:c r="A10" s="59" t="str">
        <x:v>Potato Chips</x:v>
      </x:c>
      <x:c r="B10" s="59" t="str">
        <x:v>Snack Size 50 Ct.</x:v>
      </x:c>
      <x:c r="C10" s="57" t="n">
        <x:v>24</x:v>
      </x:c>
      <x:c r="D10" s="57" t="n">
        <x:v>16</x:v>
      </x:c>
      <x:c r="E10" s="57" t="n">
        <x:v>10</x:v>
      </x:c>
      <x:c r="F10" s="57" t="n">
        <x:v>0.75</x:v>
      </x:c>
      <x:c r="G10" s="65" t="str">
        <x:v>Visible screenshot row</x:v>
      </x:c>
    </x:row>
    <x:row r="11" ht="22" customHeight="1">
      <x:c r="A11" s="59" t="str">
        <x:v>Refrigerator</x:v>
      </x:c>
      <x:c r="B11" s="59" t="str">
        <x:v>Model 363-2</x:v>
      </x:c>
      <x:c r="C11" s="57" t="n">
        <x:v>32</x:v>
      </x:c>
      <x:c r="D11" s="57" t="n">
        <x:v>29</x:v>
      </x:c>
      <x:c r="E11" s="57" t="n">
        <x:v>65</x:v>
      </x:c>
      <x:c r="F11" s="57" t="n">
        <x:v>87</x:v>
      </x:c>
      <x:c r="G11" s="65" t="str">
        <x:v>Visible screenshot row</x:v>
      </x:c>
    </x:row>
    <x:row r="12" ht="22" customHeight="1">
      <x:c r="A12" s="59" t="str">
        <x:v>Saltines</x:v>
      </x:c>
      <x:c r="B12" s="59" t="str">
        <x:v>Low Fat 20 Ct.</x:v>
      </x:c>
      <x:c r="C12" s="57" t="n">
        <x:v>24</x:v>
      </x:c>
      <x:c r="D12" s="57" t="n">
        <x:v>19.5</x:v>
      </x:c>
      <x:c r="E12" s="57" t="n">
        <x:v>16</x:v>
      </x:c>
      <x:c r="F12" s="57" t="n">
        <x:v>0.25</x:v>
      </x:c>
      <x:c r="G12" s="65" t="str">
        <x:v>Visible screenshot row</x:v>
      </x:c>
    </x:row>
    <x:row r="13" ht="22" customHeight="1">
      <x:c r="A13" s="59" t="str">
        <x:v>SKU302473</x:v>
      </x:c>
      <x:c r="B13" s="59" t="str"/>
      <x:c r="C13" s="57" t="n">
        <x:v>18</x:v>
      </x:c>
      <x:c r="D13" s="57" t="n">
        <x:v>11</x:v>
      </x:c>
      <x:c r="E13" s="57" t="n">
        <x:v>12.5</x:v>
      </x:c>
      <x:c r="F13" s="57" t="n">
        <x:v>0.5</x:v>
      </x:c>
      <x:c r="G13" s="65" t="str">
        <x:v>Visible screenshot row; description blank</x:v>
      </x:c>
    </x:row>
    <x:row r="14" ht="22" customHeight="1">
      <x:c r="A14" s="59" t="str">
        <x:v>SKU503739</x:v>
      </x:c>
      <x:c r="B14" s="59" t="str"/>
      <x:c r="C14" s="57" t="n">
        <x:v>17</x:v>
      </x:c>
      <x:c r="D14" s="57" t="n">
        <x:v>12.55</x:v>
      </x:c>
      <x:c r="E14" s="57" t="n">
        <x:v>12.5</x:v>
      </x:c>
      <x:c r="F14" s="57" t="n">
        <x:v>2</x:v>
      </x:c>
      <x:c r="G14" s="65" t="str">
        <x:v>Visible screenshot row; description blank</x:v>
      </x:c>
    </x:row>
    <x:row r="15" ht="22" customHeight="1">
      <x:c r="A15" s="59" t="str">
        <x:v>SKU57392</x:v>
      </x:c>
      <x:c r="B15" s="59" t="str">
        <x:v>Case Pack 12</x:v>
      </x:c>
      <x:c r="C15" s="57" t="n">
        <x:v>22</x:v>
      </x:c>
      <x:c r="D15" s="57" t="n">
        <x:v>14.86</x:v>
      </x:c>
      <x:c r="E15" s="57" t="n">
        <x:v>12.5</x:v>
      </x:c>
      <x:c r="F15" s="57" t="n">
        <x:v>2</x:v>
      </x:c>
      <x:c r="G15" s="65" t="str">
        <x:v>Visible screenshot row</x:v>
      </x:c>
    </x:row>
    <x:row r="16" ht="22" customHeight="1">
      <x:c r="A16" s="59" t="str">
        <x:v>SKU9876</x:v>
      </x:c>
      <x:c r="B16" s="59" t="str">
        <x:v>Case Pack</x:v>
      </x:c>
      <x:c r="C16" s="57" t="n">
        <x:v>22</x:v>
      </x:c>
      <x:c r="D16" s="57" t="n">
        <x:v>14</x:v>
      </x:c>
      <x:c r="E16" s="57" t="n">
        <x:v>15</x:v>
      </x:c>
      <x:c r="F16" s="57" t="n">
        <x:v>5</x:v>
      </x:c>
      <x:c r="G16" s="65" t="str">
        <x:v>Visible screenshot row</x:v>
      </x:c>
    </x:row>
    <x:row r="17" ht="22" customHeight="1">
      <x:c r="A17" s="59" t="str">
        <x:v>Stereo</x:v>
      </x:c>
      <x:c r="B17" s="59" t="str">
        <x:v>Surround Sound</x:v>
      </x:c>
      <x:c r="C17" s="57" t="n">
        <x:v>29</x:v>
      </x:c>
      <x:c r="D17" s="57" t="n">
        <x:v>17</x:v>
      </x:c>
      <x:c r="E17" s="57" t="n">
        <x:v>12</x:v>
      </x:c>
      <x:c r="F17" s="57" t="n">
        <x:v>21</x:v>
      </x:c>
      <x:c r="G17" s="65" t="str">
        <x:v>Visible screenshot row</x:v>
      </x:c>
    </x:row>
    <x:row r="18" ht="22" customHeight="1">
      <x:c r="A18" s="59" t="str">
        <x:v>Stove</x:v>
      </x:c>
      <x:c r="B18" s="59" t="str">
        <x:v>5 Burner</x:v>
      </x:c>
      <x:c r="C18" s="57" t="n">
        <x:v>41</x:v>
      </x:c>
      <x:c r="D18" s="57" t="n">
        <x:v>37</x:v>
      </x:c>
      <x:c r="E18" s="57" t="n">
        <x:v>42</x:v>
      </x:c>
      <x:c r="F18" s="57" t="n">
        <x:v>500</x:v>
      </x:c>
      <x:c r="G18" s="65" t="str">
        <x:v>Visible screenshot row</x:v>
      </x:c>
    </x:row>
    <x:row r="19" ht="22" customHeight="1">
      <x:c r="A19" s="59" t="str">
        <x:v>T-20 1-1/2x60x108 Black</x:v>
      </x:c>
      <x:c r="B19" s="59" t="str">
        <x:v>Sheet</x:v>
      </x:c>
      <x:c r="C19" s="57" t="n">
        <x:v>110</x:v>
      </x:c>
      <x:c r="D19" s="57" t="n">
        <x:v>60</x:v>
      </x:c>
      <x:c r="E19" s="57" t="n">
        <x:v>1.55</x:v>
      </x:c>
      <x:c r="F19" s="57" t="n">
        <x:v>13</x:v>
      </x:c>
      <x:c r="G19" s="65" t="str">
        <x:v>Visible screenshot row</x:v>
      </x:c>
    </x:row>
    <x:row r="20" ht="22" customHeight="1">
      <x:c r="A20" s="59" t="str">
        <x:v>T-20 1/2x60x108 Black</x:v>
      </x:c>
      <x:c r="B20" s="59" t="str">
        <x:v>Sheet</x:v>
      </x:c>
      <x:c r="C20" s="57" t="n">
        <x:v>110</x:v>
      </x:c>
      <x:c r="D20" s="57" t="n">
        <x:v>60</x:v>
      </x:c>
      <x:c r="E20" s="57" t="n">
        <x:v>0.55</x:v>
      </x:c>
      <x:c r="F20" s="57" t="n">
        <x:v>5</x:v>
      </x:c>
      <x:c r="G20" s="65" t="str">
        <x:v>Visible screenshot row</x:v>
      </x:c>
    </x:row>
    <x:row r="21" ht="22" customHeight="1">
      <x:c r="A21" s="59" t="str">
        <x:v>T-20 1/2x60x108 Red/Yellow</x:v>
      </x:c>
      <x:c r="B21" s="59" t="str">
        <x:v>Sheet</x:v>
      </x:c>
      <x:c r="C21" s="57" t="n">
        <x:v>110</x:v>
      </x:c>
      <x:c r="D21" s="57" t="n">
        <x:v>60</x:v>
      </x:c>
      <x:c r="E21" s="57" t="n">
        <x:v>0.55</x:v>
      </x:c>
      <x:c r="F21" s="57" t="n">
        <x:v>5</x:v>
      </x:c>
      <x:c r="G21" s="65" t="str">
        <x:v>Visible screenshot row</x:v>
      </x:c>
    </x:row>
    <x:row r="22" ht="36" customHeight="1">
      <x:c r="A22" s="59" t="str">
        <x:v>T-20 1/4x60x100 Blue</x:v>
      </x:c>
      <x:c r="B22" s="59" t="str">
        <x:v>Sheet</x:v>
      </x:c>
      <x:c r="C22" s="57" t="n">
        <x:v>21</x:v>
      </x:c>
      <x:c r="D22" s="57" t="n">
        <x:v>21</x:v>
      </x:c>
      <x:c r="E22" s="57" t="n">
        <x:v>60</x:v>
      </x:c>
      <x:c r="F22" s="57" t="n">
        <x:v>31</x:v>
      </x:c>
      <x:c r="G22" s="65" t="str">
        <x:v>Visible screenshot row; dimensions retained exactly as displayed</x:v>
      </x:c>
    </x:row>
  </x:sheetData>
  <x:pageMargins left="0.7" right="0.7" top="0.75" bottom="0.75" header="0.3" footer="0.3"/>
  <x:tableParts count="1">
    <x:tablePart xmlns:r="http://schemas.openxmlformats.org/officeDocument/2006/relationships" r:id="R8144846efc7b46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68" t="str">
        <x:v>KolliPack Product Catalogue — Metric Upload Workbook</x:v>
      </x:c>
      <x:c r="B1" s="68"/>
      <x:c r="C1" s="68"/>
      <x:c r="D1" s="68"/>
      <x:c r="E1" s="68"/>
      <x:c r="F1" s="68"/>
    </x:row>
    <x:row r="3">
      <x:c r="A3" s="83" t="str">
        <x:v>Conversion / assumption</x:v>
      </x:c>
      <x:c r="B3" s="83" t="str">
        <x:v>Value</x:v>
      </x:c>
    </x:row>
    <x:row r="4">
      <x:c r="A4" s="84" t="str">
        <x:v>Inches to millimetres</x:v>
      </x:c>
      <x:c r="B4" s="85" t="n">
        <x:v>25.4</x:v>
      </x:c>
    </x:row>
    <x:row r="5">
      <x:c r="A5" s="84" t="str">
        <x:v>Pounds to kilograms</x:v>
      </x:c>
      <x:c r="B5" s="85" t="n">
        <x:v>0.45359237</x:v>
      </x:c>
    </x:row>
    <x:row r="6">
      <x:c r="A6" s="84" t="str">
        <x:v>Workbook source</x:v>
      </x:c>
      <x:c r="B6" s="86" t="str">
        <x:v>Screenshot supplied by user</x:v>
      </x:c>
    </x:row>
    <x:row r="7">
      <x:c r="A7" s="84" t="str">
        <x:v>Catalogue rows included</x:v>
      </x:c>
      <x:c r="B7" s="86" t="n">
        <x:v>21</x:v>
      </x:c>
    </x:row>
    <x:row r="8">
      <x:c r="A8" s="84" t="str">
        <x:v>rotation_1 default</x:v>
      </x:c>
      <x:c r="B8" s="87" t="b">
        <x:v>1</x:v>
      </x:c>
    </x:row>
    <x:row r="9">
      <x:c r="A9" s="84" t="str">
        <x:v>rotation_2 default</x:v>
      </x:c>
      <x:c r="B9" s="87" t="b">
        <x:v>0</x:v>
      </x:c>
    </x:row>
    <x:row r="10">
      <x:c r="A10" s="84" t="str">
        <x:v>rotation_3 default</x:v>
      </x:c>
      <x:c r="B10" s="87" t="b">
        <x:v>0</x:v>
      </x:c>
    </x:row>
    <x:row r="11">
      <x:c r="A11" s="84" t="str">
        <x:v>desired_qty default</x:v>
      </x:c>
      <x:c r="B11" s="88" t="n">
        <x:v>1</x:v>
      </x:c>
    </x:row>
    <x:row r="13">
      <x:c r="A13" s="90" t="str">
        <x:v>How to use</x:v>
      </x:c>
      <x:c r="B13" s="90"/>
      <x:c r="C13" s="90"/>
      <x:c r="D13" s="90"/>
      <x:c r="E13" s="90"/>
      <x:c r="F13" s="90"/>
    </x:row>
    <x:row r="14" ht="32" customHeight="1">
      <x:c r="A14" s="93" t="str">
        <x:v>1. Use the Product Upload sheet when uploading to KolliPack. Its headers match the product catalogue Excel importer exactly.</x:v>
      </x:c>
      <x:c r="B14" s="93"/>
      <x:c r="C14" s="93"/>
      <x:c r="D14" s="93"/>
      <x:c r="E14" s="93"/>
      <x:c r="F14" s="93"/>
    </x:row>
    <x:row r="15" ht="32" customHeight="1">
      <x:c r="A15" s="93" t="str">
        <x:v>2. To revise a product, edit the yellow cells on Imperial Source. Product Upload converts inches to mm and pounds to kg with formulas.</x:v>
      </x:c>
      <x:c r="B15" s="93"/>
      <x:c r="C15" s="93"/>
      <x:c r="D15" s="93"/>
      <x:c r="E15" s="93"/>
      <x:c r="F15" s="93"/>
    </x:row>
    <x:row r="16" ht="32" customHeight="1">
      <x:c r="A16" s="93" t="str">
        <x:v>3. Rotation flags and desired_qty were not visible in the screenshot. They default to rotation_1=TRUE, rotation_2/3=FALSE, desired_qty=1; adjust them in Instructions if needed.</x:v>
      </x:c>
      <x:c r="B16" s="93"/>
      <x:c r="C16" s="93"/>
      <x:c r="D16" s="93"/>
      <x:c r="E16" s="93"/>
      <x:c r="F16" s="93"/>
    </x:row>
    <x:row r="17" ht="32" customHeight="1">
      <x:c r="A17" s="93" t="str">
        <x:v>4. The final row visible at the bottom of the screenshot was partly covered by the video controls and is not included.</x:v>
      </x:c>
      <x:c r="B17" s="93"/>
      <x:c r="C17" s="93"/>
      <x:c r="D17" s="93"/>
      <x:c r="E17" s="93"/>
      <x:c r="F17" s="93"/>
    </x:row>
    <x:row r="18" ht="32" customHeight="1">
      <x:c r="A18" s="93" t="str">
        <x:v>5. Verify product orientation, quantities, and dimensions against the source system before using the catalogue for engineering decisions.</x:v>
      </x:c>
      <x:c r="B18" s="93"/>
      <x:c r="C18" s="93"/>
      <x:c r="D18" s="93"/>
      <x:c r="E18" s="93"/>
      <x:c r="F18" s="93"/>
    </x:row>
    <x:row r="20" ht="34" customHeight="1">
      <x:c r="A20" s="97" t="str">
        <x:v>Review note: T-20 1/4x60x100 Blue is retained as 21 x 21 x 60 in because that is what is visible in the screenshot; please verify this row.</x:v>
      </x:c>
      <x:c r="B20" s="97"/>
      <x:c r="C20" s="97"/>
      <x:c r="D20" s="97"/>
      <x:c r="E20" s="97"/>
      <x:c r="F20" s="97"/>
    </x:row>
    <x:row r="22">
      <x:c r="A22" s="98" t="str">
        <x:v>Legend: yellow = editable screenshot source inputs; light blue = formula-driven metric/upload values.</x:v>
      </x:c>
      <x:c r="B22" s="98"/>
      <x:c r="C22" s="98"/>
      <x:c r="D22" s="98"/>
      <x:c r="E22" s="98"/>
      <x:c r="F22" s="98"/>
    </x:row>
  </x:sheetData>
  <x:mergeCells>
    <x:mergeCell ref="A1:F1"/>
    <x:mergeCell ref="A13:F13"/>
    <x:mergeCell ref="A14:F14"/>
    <x:mergeCell ref="A15:F15"/>
    <x:mergeCell ref="A16:F16"/>
    <x:mergeCell ref="A17:F17"/>
    <x:mergeCell ref="A18:F18"/>
    <x:mergeCell ref="A20:F20"/>
    <x:mergeCell ref="A22:F22"/>
  </x:mergeCells>
  <x:pageMargins left="0.7" right="0.7" top="0.75" bottom="0.75" header="0.3" footer="0.3"/>
</x:worksheet>
</file>